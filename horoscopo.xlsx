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i-horoscopo\"/>
    </mc:Choice>
  </mc:AlternateContent>
  <xr:revisionPtr revIDLastSave="0" documentId="13_ncr:1_{628BED8F-8CB2-4732-8C75-C0DCA95E2A8B}" xr6:coauthVersionLast="47" xr6:coauthVersionMax="47" xr10:uidLastSave="{00000000-0000-0000-0000-000000000000}"/>
  <bookViews>
    <workbookView xWindow="-105" yWindow="0" windowWidth="19410" windowHeight="20985" xr2:uid="{2616EC32-DBE8-4382-93BF-658B3D95342F}"/>
  </bookViews>
  <sheets>
    <sheet name="Hoja1" sheetId="1" r:id="rId1"/>
    <sheet name="Programa de referidos" sheetId="2" r:id="rId2"/>
    <sheet name="Tienda de conteni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A3" i="2"/>
  <c r="C3" i="2" s="1"/>
  <c r="C2" i="2"/>
  <c r="E2" i="2" s="1"/>
  <c r="D7" i="1"/>
  <c r="E3" i="1"/>
  <c r="F7" i="1" l="1"/>
  <c r="B3" i="1" s="1"/>
  <c r="F2" i="2"/>
  <c r="E3" i="2"/>
  <c r="F3" i="2" s="1"/>
  <c r="A4" i="2"/>
  <c r="C3" i="1" l="1"/>
  <c r="F3" i="1"/>
  <c r="I7" i="1" s="1"/>
  <c r="A5" i="2"/>
  <c r="C4" i="2"/>
  <c r="G3" i="1"/>
  <c r="I3" i="1" s="1"/>
  <c r="J9" i="1" s="1"/>
  <c r="K3" i="1"/>
  <c r="J8" i="1"/>
  <c r="J3" i="1" l="1"/>
  <c r="E4" i="2"/>
  <c r="F4" i="2" s="1"/>
  <c r="A6" i="2"/>
  <c r="C5" i="2"/>
  <c r="J12" i="1"/>
  <c r="J13" i="1" s="1"/>
  <c r="E5" i="2" l="1"/>
  <c r="F5" i="2" s="1"/>
  <c r="A7" i="2"/>
  <c r="C6" i="2"/>
  <c r="E6" i="2" l="1"/>
  <c r="F6" i="2" s="1"/>
  <c r="A8" i="2"/>
  <c r="C7" i="2"/>
  <c r="E7" i="2" l="1"/>
  <c r="F7" i="2" s="1"/>
  <c r="C8" i="2"/>
  <c r="A9" i="2"/>
  <c r="E8" i="2" l="1"/>
  <c r="F8" i="2" s="1"/>
  <c r="A10" i="2"/>
  <c r="C9" i="2"/>
  <c r="E9" i="2" l="1"/>
  <c r="F9" i="2" s="1"/>
  <c r="A11" i="2"/>
  <c r="C10" i="2"/>
  <c r="E10" i="2" l="1"/>
  <c r="F10" i="2" s="1"/>
  <c r="A12" i="2"/>
  <c r="C11" i="2"/>
  <c r="F11" i="2" l="1"/>
  <c r="C12" i="2"/>
  <c r="A13" i="2"/>
  <c r="A14" i="2" l="1"/>
  <c r="C13" i="2"/>
  <c r="E12" i="2"/>
  <c r="F12" i="2"/>
  <c r="C14" i="2" l="1"/>
  <c r="A15" i="2"/>
  <c r="E13" i="2"/>
  <c r="F13" i="2" s="1"/>
  <c r="A16" i="2" l="1"/>
  <c r="C15" i="2"/>
  <c r="E14" i="2"/>
  <c r="F14" i="2" s="1"/>
  <c r="E15" i="2" l="1"/>
  <c r="F15" i="2" s="1"/>
  <c r="C16" i="2"/>
  <c r="A17" i="2"/>
  <c r="A18" i="2" l="1"/>
  <c r="C17" i="2"/>
  <c r="E16" i="2"/>
  <c r="F16" i="2" s="1"/>
  <c r="E17" i="2" l="1"/>
  <c r="F17" i="2" s="1"/>
  <c r="A19" i="2"/>
  <c r="C18" i="2"/>
  <c r="E18" i="2" l="1"/>
  <c r="F18" i="2"/>
  <c r="A20" i="2"/>
  <c r="C19" i="2"/>
  <c r="E19" i="2" l="1"/>
  <c r="F19" i="2" s="1"/>
  <c r="C20" i="2"/>
  <c r="A21" i="2"/>
  <c r="A22" i="2" l="1"/>
  <c r="C21" i="2"/>
  <c r="E20" i="2"/>
  <c r="F20" i="2" s="1"/>
  <c r="E21" i="2" l="1"/>
  <c r="F21" i="2" s="1"/>
  <c r="A23" i="2"/>
  <c r="C22" i="2"/>
  <c r="E22" i="2" l="1"/>
  <c r="F22" i="2" s="1"/>
  <c r="A24" i="2"/>
  <c r="C23" i="2"/>
  <c r="E23" i="2" l="1"/>
  <c r="F23" i="2" s="1"/>
  <c r="C24" i="2"/>
  <c r="A25" i="2"/>
  <c r="C25" i="2" l="1"/>
  <c r="A26" i="2"/>
  <c r="E24" i="2"/>
  <c r="F24" i="2" s="1"/>
  <c r="A27" i="2" l="1"/>
  <c r="C26" i="2"/>
  <c r="E25" i="2"/>
  <c r="F25" i="2" s="1"/>
  <c r="E26" i="2" l="1"/>
  <c r="F26" i="2"/>
  <c r="A28" i="2"/>
  <c r="C27" i="2"/>
  <c r="A29" i="2" l="1"/>
  <c r="C28" i="2"/>
  <c r="E27" i="2"/>
  <c r="F27" i="2"/>
  <c r="E28" i="2" l="1"/>
  <c r="F28" i="2" s="1"/>
  <c r="A30" i="2"/>
  <c r="C29" i="2"/>
  <c r="E29" i="2" l="1"/>
  <c r="F29" i="2"/>
  <c r="A31" i="2"/>
  <c r="C30" i="2"/>
  <c r="E30" i="2" l="1"/>
  <c r="F30" i="2"/>
  <c r="A32" i="2"/>
  <c r="C31" i="2"/>
  <c r="E31" i="2" l="1"/>
  <c r="F31" i="2" s="1"/>
  <c r="C32" i="2"/>
  <c r="A33" i="2"/>
  <c r="A34" i="2" l="1"/>
  <c r="C33" i="2"/>
  <c r="E32" i="2"/>
  <c r="F32" i="2" s="1"/>
  <c r="E33" i="2" l="1"/>
  <c r="F33" i="2"/>
  <c r="A35" i="2"/>
  <c r="C34" i="2"/>
  <c r="E34" i="2" l="1"/>
  <c r="F34" i="2" s="1"/>
  <c r="C35" i="2"/>
  <c r="A36" i="2"/>
  <c r="E35" i="2" l="1"/>
  <c r="F35" i="2" s="1"/>
  <c r="C36" i="2"/>
  <c r="A37" i="2"/>
  <c r="C37" i="2" l="1"/>
  <c r="A38" i="2"/>
  <c r="E36" i="2"/>
  <c r="F36" i="2"/>
  <c r="C38" i="2" l="1"/>
  <c r="A39" i="2"/>
  <c r="E37" i="2"/>
  <c r="F37" i="2"/>
  <c r="A40" i="2" l="1"/>
  <c r="C39" i="2"/>
  <c r="E38" i="2"/>
  <c r="F38" i="2" s="1"/>
  <c r="E39" i="2" l="1"/>
  <c r="F39" i="2" s="1"/>
  <c r="C40" i="2"/>
  <c r="A41" i="2"/>
  <c r="C41" i="2" l="1"/>
  <c r="A42" i="2"/>
  <c r="E40" i="2"/>
  <c r="F40" i="2" s="1"/>
  <c r="A43" i="2" l="1"/>
  <c r="C42" i="2"/>
  <c r="E41" i="2"/>
  <c r="F41" i="2"/>
  <c r="E42" i="2" l="1"/>
  <c r="F42" i="2" s="1"/>
  <c r="C43" i="2"/>
  <c r="A44" i="2"/>
  <c r="C44" i="2" l="1"/>
  <c r="A45" i="2"/>
  <c r="E43" i="2"/>
  <c r="F43" i="2" s="1"/>
  <c r="A46" i="2" l="1"/>
  <c r="C45" i="2"/>
  <c r="E44" i="2"/>
  <c r="F44" i="2" s="1"/>
  <c r="F45" i="2" l="1"/>
  <c r="E45" i="2"/>
  <c r="A47" i="2"/>
  <c r="C46" i="2"/>
  <c r="E46" i="2" l="1"/>
  <c r="F46" i="2"/>
  <c r="A48" i="2"/>
  <c r="C47" i="2"/>
  <c r="E47" i="2" l="1"/>
  <c r="F47" i="2" s="1"/>
  <c r="C48" i="2"/>
  <c r="A49" i="2"/>
  <c r="A50" i="2" l="1"/>
  <c r="C49" i="2"/>
  <c r="E48" i="2"/>
  <c r="F48" i="2" s="1"/>
  <c r="E49" i="2" l="1"/>
  <c r="F49" i="2" s="1"/>
  <c r="A51" i="2"/>
  <c r="C50" i="2"/>
  <c r="E50" i="2" l="1"/>
  <c r="F50" i="2" s="1"/>
  <c r="A52" i="2"/>
  <c r="C51" i="2"/>
  <c r="E51" i="2" l="1"/>
  <c r="F51" i="2" s="1"/>
  <c r="A53" i="2"/>
  <c r="C52" i="2"/>
  <c r="E52" i="2" l="1"/>
  <c r="F52" i="2" s="1"/>
  <c r="A54" i="2"/>
  <c r="C53" i="2"/>
  <c r="E53" i="2" l="1"/>
  <c r="F53" i="2" s="1"/>
  <c r="C54" i="2"/>
  <c r="A55" i="2"/>
  <c r="A56" i="2" l="1"/>
  <c r="C56" i="2" s="1"/>
  <c r="C55" i="2"/>
  <c r="E54" i="2"/>
  <c r="F54" i="2" s="1"/>
  <c r="E55" i="2" l="1"/>
  <c r="F55" i="2" s="1"/>
  <c r="E56" i="2"/>
  <c r="F56" i="2" s="1"/>
</calcChain>
</file>

<file path=xl/sharedStrings.xml><?xml version="1.0" encoding="utf-8"?>
<sst xmlns="http://schemas.openxmlformats.org/spreadsheetml/2006/main" count="30" uniqueCount="30">
  <si>
    <t>0.10</t>
  </si>
  <si>
    <t>Cantidad de lotes enviados</t>
  </si>
  <si>
    <t>Precio por lote</t>
  </si>
  <si>
    <t>Cantidad de Usuarios</t>
  </si>
  <si>
    <t>Envios por mes</t>
  </si>
  <si>
    <t>Precio Diario</t>
  </si>
  <si>
    <t>Precio Mensual</t>
  </si>
  <si>
    <t>Inreso mensual estimado</t>
  </si>
  <si>
    <t>A pagar USD</t>
  </si>
  <si>
    <t>A pagar  ARS</t>
  </si>
  <si>
    <t>Invercion</t>
  </si>
  <si>
    <t>Costo por clic</t>
  </si>
  <si>
    <t>Cantidad de cliks</t>
  </si>
  <si>
    <t>Tasa de conversión</t>
  </si>
  <si>
    <t>nuevos usuarios</t>
  </si>
  <si>
    <t>SALDO</t>
  </si>
  <si>
    <t>Debe</t>
  </si>
  <si>
    <t>Haber</t>
  </si>
  <si>
    <t>Total</t>
  </si>
  <si>
    <t>Comision de Mercado Pago</t>
  </si>
  <si>
    <t>COMISIONES</t>
  </si>
  <si>
    <t>DETALLE</t>
  </si>
  <si>
    <t>Mercado Pago</t>
  </si>
  <si>
    <t>Coste de envio</t>
  </si>
  <si>
    <t>usuarios</t>
  </si>
  <si>
    <t>precio dia</t>
  </si>
  <si>
    <t>porcentaje</t>
  </si>
  <si>
    <t>total mensual</t>
  </si>
  <si>
    <t>recibido por vendedor</t>
  </si>
  <si>
    <t>recibido por mi horoscopo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</si>
</sst>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2C0A]\ * #,##0.00_-;\-[$$-2C0A]\ * #,##0.00_-;_-[$$-2C0A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1" fontId="0" fillId="3" borderId="1" xfId="2" applyNumberFormat="1" applyFont="1" applyFill="1" applyBorder="1"/>
    <xf numFmtId="44" fontId="0" fillId="4" borderId="1" xfId="2" applyFont="1" applyFill="1" applyBorder="1"/>
    <xf numFmtId="44" fontId="0" fillId="3" borderId="1" xfId="2" applyFont="1" applyFill="1" applyBorder="1"/>
    <xf numFmtId="1" fontId="0" fillId="3" borderId="1" xfId="0" applyNumberFormat="1" applyFill="1" applyBorder="1"/>
    <xf numFmtId="44" fontId="0" fillId="2" borderId="1" xfId="2" applyFont="1" applyFill="1" applyBorder="1"/>
    <xf numFmtId="0" fontId="0" fillId="3" borderId="1" xfId="0" applyFill="1" applyBorder="1"/>
    <xf numFmtId="2" fontId="0" fillId="4" borderId="1" xfId="3" applyNumberFormat="1" applyFont="1" applyFill="1" applyBorder="1"/>
    <xf numFmtId="43" fontId="0" fillId="3" borderId="1" xfId="1" applyFont="1" applyFill="1" applyBorder="1"/>
    <xf numFmtId="0" fontId="2" fillId="5" borderId="1" xfId="0" applyFont="1" applyFill="1" applyBorder="1"/>
    <xf numFmtId="0" fontId="0" fillId="5" borderId="1" xfId="0" applyFill="1" applyBorder="1"/>
    <xf numFmtId="164" fontId="5" fillId="3" borderId="1" xfId="0" applyNumberFormat="1" applyFont="1" applyFill="1" applyBorder="1"/>
    <xf numFmtId="44" fontId="6" fillId="0" borderId="1" xfId="2" applyFont="1" applyBorder="1"/>
    <xf numFmtId="0" fontId="0" fillId="5" borderId="2" xfId="0" applyFill="1" applyBorder="1"/>
    <xf numFmtId="164" fontId="0" fillId="0" borderId="0" xfId="0" applyNumberFormat="1"/>
    <xf numFmtId="10" fontId="0" fillId="0" borderId="0" xfId="0" applyNumberFormat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4" fillId="0" borderId="1" xfId="0" applyNumberFormat="1" applyFont="1" applyBorder="1"/>
    <xf numFmtId="0" fontId="7" fillId="0" borderId="0" xfId="0" applyFont="1"/>
    <xf numFmtId="43" fontId="0" fillId="3" borderId="1" xfId="0" applyNumberFormat="1" applyFill="1" applyBorder="1"/>
    <xf numFmtId="44" fontId="0" fillId="0" borderId="0" xfId="2" applyFont="1"/>
    <xf numFmtId="0" fontId="8" fillId="6" borderId="0" xfId="4"/>
    <xf numFmtId="44" fontId="8" fillId="6" borderId="0" xfId="4" applyNumberFormat="1"/>
    <xf numFmtId="44" fontId="9" fillId="7" borderId="0" xfId="5" applyNumberFormat="1"/>
    <xf numFmtId="44" fontId="3" fillId="10" borderId="0" xfId="8" applyNumberFormat="1"/>
    <xf numFmtId="44" fontId="3" fillId="9" borderId="0" xfId="7" applyNumberFormat="1"/>
    <xf numFmtId="44" fontId="3" fillId="8" borderId="0" xfId="6" applyNumberFormat="1"/>
  </cellXfs>
  <cellStyles count="9">
    <cellStyle name="20% - Énfasis3" xfId="6" builtinId="38"/>
    <cellStyle name="40% - Énfasis3" xfId="7" builtinId="39"/>
    <cellStyle name="60% - Énfasis3" xfId="8" builtinId="40"/>
    <cellStyle name="Bueno" xfId="4" builtinId="26"/>
    <cellStyle name="Énfasis3" xfId="5" builtinId="37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A7EE-53C2-40BA-A065-172DBBBFAA1D}">
  <dimension ref="B2:K32"/>
  <sheetViews>
    <sheetView tabSelected="1" zoomScale="130" zoomScaleNormal="130" workbookViewId="0">
      <selection activeCell="B7" sqref="B7"/>
    </sheetView>
  </sheetViews>
  <sheetFormatPr baseColWidth="10" defaultRowHeight="15" x14ac:dyDescent="0.25"/>
  <cols>
    <col min="1" max="1" width="25.42578125" customWidth="1"/>
    <col min="2" max="2" width="25" customWidth="1"/>
    <col min="3" max="3" width="14.85546875" customWidth="1"/>
    <col min="4" max="5" width="15.7109375" customWidth="1"/>
    <col min="6" max="6" width="23.7109375" customWidth="1"/>
    <col min="7" max="7" width="25.85546875" customWidth="1"/>
    <col min="8" max="8" width="25.7109375" customWidth="1"/>
    <col min="9" max="9" width="19.28515625" customWidth="1"/>
    <col min="10" max="10" width="16.85546875" customWidth="1"/>
  </cols>
  <sheetData>
    <row r="2" spans="2:11" ht="15.75" x14ac:dyDescent="0.25"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1</v>
      </c>
      <c r="H2" s="11" t="s">
        <v>2</v>
      </c>
      <c r="I2" s="11" t="s">
        <v>8</v>
      </c>
      <c r="J2" s="11" t="s">
        <v>9</v>
      </c>
    </row>
    <row r="3" spans="2:11" x14ac:dyDescent="0.25">
      <c r="B3" s="22">
        <f>F7</f>
        <v>14.029180695847362</v>
      </c>
      <c r="C3" s="3">
        <f>B3*31</f>
        <v>434.90460157126824</v>
      </c>
      <c r="D3" s="4">
        <v>39</v>
      </c>
      <c r="E3" s="5">
        <f>D3*31</f>
        <v>1209</v>
      </c>
      <c r="F3" s="13">
        <f>B3*E3</f>
        <v>16961.279461279461</v>
      </c>
      <c r="G3" s="6">
        <f>C3/1000</f>
        <v>0.43490460157126826</v>
      </c>
      <c r="H3" s="4" t="s">
        <v>0</v>
      </c>
      <c r="I3" s="14">
        <f>G3*0.1</f>
        <v>4.3490460157126827E-2</v>
      </c>
      <c r="J3" s="14">
        <f>I3*1500</f>
        <v>65.235690235690242</v>
      </c>
      <c r="K3">
        <f>C3/31</f>
        <v>14.029180695847362</v>
      </c>
    </row>
    <row r="6" spans="2:11" x14ac:dyDescent="0.25"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H6" s="12" t="s">
        <v>15</v>
      </c>
      <c r="I6" s="12" t="s">
        <v>16</v>
      </c>
      <c r="J6" s="12" t="s">
        <v>17</v>
      </c>
    </row>
    <row r="7" spans="2:11" x14ac:dyDescent="0.25">
      <c r="B7" s="4">
        <v>500000</v>
      </c>
      <c r="C7" s="7">
        <v>17.82</v>
      </c>
      <c r="D7" s="8">
        <f>B7/C7</f>
        <v>28058.361391694725</v>
      </c>
      <c r="E7" s="9">
        <v>0.05</v>
      </c>
      <c r="F7" s="10">
        <f>(E7*D7)/100</f>
        <v>14.029180695847362</v>
      </c>
      <c r="H7" s="2" t="s">
        <v>18</v>
      </c>
      <c r="I7" s="18">
        <f>F3</f>
        <v>16961.279461279461</v>
      </c>
      <c r="J7" s="2"/>
    </row>
    <row r="8" spans="2:11" x14ac:dyDescent="0.25">
      <c r="H8" s="2" t="s">
        <v>19</v>
      </c>
      <c r="I8" s="2"/>
      <c r="J8" s="19">
        <f>(C10*I7)/100</f>
        <v>5.2579966329966332</v>
      </c>
    </row>
    <row r="9" spans="2:11" x14ac:dyDescent="0.25">
      <c r="B9" s="15" t="s">
        <v>20</v>
      </c>
      <c r="C9" s="15" t="s">
        <v>21</v>
      </c>
      <c r="H9" s="2" t="s">
        <v>23</v>
      </c>
      <c r="I9" s="2"/>
      <c r="J9" s="14">
        <f>I3*1500</f>
        <v>65.235690235690242</v>
      </c>
    </row>
    <row r="10" spans="2:11" x14ac:dyDescent="0.25">
      <c r="B10" t="s">
        <v>22</v>
      </c>
      <c r="C10" s="17">
        <v>3.1E-2</v>
      </c>
      <c r="H10" s="2"/>
      <c r="I10" s="2"/>
      <c r="J10" s="2"/>
    </row>
    <row r="11" spans="2:11" x14ac:dyDescent="0.25">
      <c r="H11" s="2"/>
      <c r="I11" s="2"/>
      <c r="J11" s="2"/>
    </row>
    <row r="12" spans="2:11" x14ac:dyDescent="0.25">
      <c r="H12" s="2"/>
      <c r="I12" s="2"/>
      <c r="J12" s="20">
        <f>SUM(J8:J11)</f>
        <v>70.493686868686879</v>
      </c>
    </row>
    <row r="13" spans="2:11" x14ac:dyDescent="0.25">
      <c r="E13" s="21"/>
      <c r="J13" s="16">
        <f>I7-J12</f>
        <v>16890.785774410775</v>
      </c>
    </row>
    <row r="18" spans="6:11" x14ac:dyDescent="0.25">
      <c r="K18" s="1"/>
    </row>
    <row r="20" spans="6:11" x14ac:dyDescent="0.25">
      <c r="F20" s="21"/>
    </row>
    <row r="32" spans="6:11" x14ac:dyDescent="0.25">
      <c r="G3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EFB1-2BEE-4C47-B6C1-4FA8F5E99AA3}">
  <dimension ref="A1:H56"/>
  <sheetViews>
    <sheetView workbookViewId="0">
      <selection activeCell="E2" sqref="E2:E21"/>
    </sheetView>
  </sheetViews>
  <sheetFormatPr baseColWidth="10" defaultRowHeight="15" x14ac:dyDescent="0.25"/>
  <cols>
    <col min="1" max="1" width="9.85546875" customWidth="1"/>
    <col min="2" max="2" width="12.140625" style="23" customWidth="1"/>
    <col min="3" max="3" width="14.5703125" style="23" customWidth="1"/>
    <col min="4" max="4" width="10.7109375" customWidth="1"/>
    <col min="5" max="5" width="31" style="23" customWidth="1"/>
    <col min="6" max="6" width="26.85546875" style="23" customWidth="1"/>
  </cols>
  <sheetData>
    <row r="1" spans="1:6" x14ac:dyDescent="0.25">
      <c r="A1" s="24" t="s">
        <v>24</v>
      </c>
      <c r="B1" s="25" t="s">
        <v>25</v>
      </c>
      <c r="C1" s="25" t="s">
        <v>27</v>
      </c>
      <c r="D1" s="24" t="s">
        <v>26</v>
      </c>
      <c r="E1" s="25" t="s">
        <v>28</v>
      </c>
      <c r="F1" s="25" t="s">
        <v>29</v>
      </c>
    </row>
    <row r="2" spans="1:6" x14ac:dyDescent="0.25">
      <c r="A2">
        <v>1</v>
      </c>
      <c r="B2" s="23">
        <v>79</v>
      </c>
      <c r="C2" s="23">
        <f t="shared" ref="C2:C33" si="0">B2*31*A2</f>
        <v>2449</v>
      </c>
      <c r="D2" s="24">
        <v>100</v>
      </c>
      <c r="E2" s="26">
        <f t="shared" ref="E2:E10" si="1">D2*C2/100</f>
        <v>2449</v>
      </c>
      <c r="F2" s="23">
        <f t="shared" ref="F2:F33" si="2">C2-E2</f>
        <v>0</v>
      </c>
    </row>
    <row r="3" spans="1:6" x14ac:dyDescent="0.25">
      <c r="A3">
        <f t="shared" ref="A3:A34" si="3">A2+1</f>
        <v>2</v>
      </c>
      <c r="B3" s="23">
        <v>79</v>
      </c>
      <c r="C3" s="23">
        <f t="shared" si="0"/>
        <v>4898</v>
      </c>
      <c r="D3" s="24">
        <v>100</v>
      </c>
      <c r="E3" s="26">
        <f t="shared" si="1"/>
        <v>4898</v>
      </c>
      <c r="F3" s="23">
        <f t="shared" si="2"/>
        <v>0</v>
      </c>
    </row>
    <row r="4" spans="1:6" x14ac:dyDescent="0.25">
      <c r="A4">
        <f t="shared" si="3"/>
        <v>3</v>
      </c>
      <c r="B4" s="23">
        <v>79</v>
      </c>
      <c r="C4" s="23">
        <f t="shared" si="0"/>
        <v>7347</v>
      </c>
      <c r="D4" s="24">
        <v>100</v>
      </c>
      <c r="E4" s="26">
        <f t="shared" si="1"/>
        <v>7347</v>
      </c>
      <c r="F4" s="23">
        <f t="shared" si="2"/>
        <v>0</v>
      </c>
    </row>
    <row r="5" spans="1:6" x14ac:dyDescent="0.25">
      <c r="A5">
        <f t="shared" si="3"/>
        <v>4</v>
      </c>
      <c r="B5" s="23">
        <v>79</v>
      </c>
      <c r="C5" s="23">
        <f t="shared" si="0"/>
        <v>9796</v>
      </c>
      <c r="D5" s="24">
        <v>100</v>
      </c>
      <c r="E5" s="26">
        <f t="shared" si="1"/>
        <v>9796</v>
      </c>
      <c r="F5" s="23">
        <f t="shared" si="2"/>
        <v>0</v>
      </c>
    </row>
    <row r="6" spans="1:6" x14ac:dyDescent="0.25">
      <c r="A6">
        <f t="shared" si="3"/>
        <v>5</v>
      </c>
      <c r="B6" s="23">
        <v>79</v>
      </c>
      <c r="C6" s="23">
        <f t="shared" si="0"/>
        <v>12245</v>
      </c>
      <c r="D6" s="24">
        <v>100</v>
      </c>
      <c r="E6" s="26">
        <f t="shared" si="1"/>
        <v>12245</v>
      </c>
      <c r="F6" s="23">
        <f t="shared" si="2"/>
        <v>0</v>
      </c>
    </row>
    <row r="7" spans="1:6" x14ac:dyDescent="0.25">
      <c r="A7">
        <f t="shared" si="3"/>
        <v>6</v>
      </c>
      <c r="B7" s="23">
        <v>79</v>
      </c>
      <c r="C7" s="23">
        <f t="shared" si="0"/>
        <v>14694</v>
      </c>
      <c r="D7" s="24">
        <v>100</v>
      </c>
      <c r="E7" s="26">
        <f t="shared" si="1"/>
        <v>14694</v>
      </c>
      <c r="F7" s="23">
        <f t="shared" si="2"/>
        <v>0</v>
      </c>
    </row>
    <row r="8" spans="1:6" x14ac:dyDescent="0.25">
      <c r="A8">
        <f t="shared" si="3"/>
        <v>7</v>
      </c>
      <c r="B8" s="23">
        <v>79</v>
      </c>
      <c r="C8" s="23">
        <f t="shared" si="0"/>
        <v>17143</v>
      </c>
      <c r="D8" s="24">
        <v>100</v>
      </c>
      <c r="E8" s="26">
        <f t="shared" si="1"/>
        <v>17143</v>
      </c>
      <c r="F8" s="23">
        <f t="shared" si="2"/>
        <v>0</v>
      </c>
    </row>
    <row r="9" spans="1:6" x14ac:dyDescent="0.25">
      <c r="A9">
        <f t="shared" si="3"/>
        <v>8</v>
      </c>
      <c r="B9" s="23">
        <v>79</v>
      </c>
      <c r="C9" s="23">
        <f t="shared" si="0"/>
        <v>19592</v>
      </c>
      <c r="D9" s="24">
        <v>100</v>
      </c>
      <c r="E9" s="26">
        <f t="shared" si="1"/>
        <v>19592</v>
      </c>
      <c r="F9" s="23">
        <f t="shared" si="2"/>
        <v>0</v>
      </c>
    </row>
    <row r="10" spans="1:6" x14ac:dyDescent="0.25">
      <c r="A10">
        <f t="shared" si="3"/>
        <v>9</v>
      </c>
      <c r="B10" s="23">
        <v>79</v>
      </c>
      <c r="C10" s="23">
        <f t="shared" si="0"/>
        <v>22041</v>
      </c>
      <c r="D10" s="24">
        <v>100</v>
      </c>
      <c r="E10" s="26">
        <f t="shared" si="1"/>
        <v>22041</v>
      </c>
      <c r="F10" s="23">
        <f t="shared" si="2"/>
        <v>0</v>
      </c>
    </row>
    <row r="11" spans="1:6" x14ac:dyDescent="0.25">
      <c r="A11">
        <f t="shared" si="3"/>
        <v>10</v>
      </c>
      <c r="B11" s="23">
        <v>79</v>
      </c>
      <c r="C11" s="23">
        <f t="shared" si="0"/>
        <v>24490</v>
      </c>
      <c r="D11">
        <v>90</v>
      </c>
      <c r="E11" s="27">
        <f>D10*C11/100</f>
        <v>24490</v>
      </c>
      <c r="F11" s="23">
        <f t="shared" si="2"/>
        <v>0</v>
      </c>
    </row>
    <row r="12" spans="1:6" x14ac:dyDescent="0.25">
      <c r="A12">
        <f t="shared" si="3"/>
        <v>11</v>
      </c>
      <c r="B12" s="23">
        <v>79</v>
      </c>
      <c r="C12" s="23">
        <f t="shared" si="0"/>
        <v>26939</v>
      </c>
      <c r="D12">
        <v>90</v>
      </c>
      <c r="E12" s="27">
        <f>D11*C12/100</f>
        <v>24245.1</v>
      </c>
      <c r="F12" s="23">
        <f t="shared" si="2"/>
        <v>2693.9000000000015</v>
      </c>
    </row>
    <row r="13" spans="1:6" x14ac:dyDescent="0.25">
      <c r="A13">
        <f t="shared" si="3"/>
        <v>12</v>
      </c>
      <c r="B13" s="23">
        <v>79</v>
      </c>
      <c r="C13" s="23">
        <f t="shared" si="0"/>
        <v>29388</v>
      </c>
      <c r="D13">
        <v>90</v>
      </c>
      <c r="E13" s="27">
        <f t="shared" ref="E13:E56" si="4">D13*C13/100</f>
        <v>26449.200000000001</v>
      </c>
      <c r="F13" s="23">
        <f t="shared" si="2"/>
        <v>2938.7999999999993</v>
      </c>
    </row>
    <row r="14" spans="1:6" x14ac:dyDescent="0.25">
      <c r="A14">
        <f t="shared" si="3"/>
        <v>13</v>
      </c>
      <c r="B14" s="23">
        <v>79</v>
      </c>
      <c r="C14" s="23">
        <f t="shared" si="0"/>
        <v>31837</v>
      </c>
      <c r="D14">
        <v>90</v>
      </c>
      <c r="E14" s="27">
        <f t="shared" si="4"/>
        <v>28653.3</v>
      </c>
      <c r="F14" s="23">
        <f t="shared" si="2"/>
        <v>3183.7000000000007</v>
      </c>
    </row>
    <row r="15" spans="1:6" x14ac:dyDescent="0.25">
      <c r="A15">
        <f t="shared" si="3"/>
        <v>14</v>
      </c>
      <c r="B15" s="23">
        <v>79</v>
      </c>
      <c r="C15" s="23">
        <f t="shared" si="0"/>
        <v>34286</v>
      </c>
      <c r="D15">
        <v>90</v>
      </c>
      <c r="E15" s="27">
        <f t="shared" si="4"/>
        <v>30857.4</v>
      </c>
      <c r="F15" s="23">
        <f t="shared" si="2"/>
        <v>3428.5999999999985</v>
      </c>
    </row>
    <row r="16" spans="1:6" x14ac:dyDescent="0.25">
      <c r="A16">
        <f t="shared" si="3"/>
        <v>15</v>
      </c>
      <c r="B16" s="23">
        <v>79</v>
      </c>
      <c r="C16" s="23">
        <f t="shared" si="0"/>
        <v>36735</v>
      </c>
      <c r="D16">
        <v>90</v>
      </c>
      <c r="E16" s="27">
        <f t="shared" si="4"/>
        <v>33061.5</v>
      </c>
      <c r="F16" s="23">
        <f t="shared" si="2"/>
        <v>3673.5</v>
      </c>
    </row>
    <row r="17" spans="1:8" x14ac:dyDescent="0.25">
      <c r="A17">
        <f t="shared" si="3"/>
        <v>16</v>
      </c>
      <c r="B17" s="23">
        <v>79</v>
      </c>
      <c r="C17" s="23">
        <f t="shared" si="0"/>
        <v>39184</v>
      </c>
      <c r="D17">
        <v>90</v>
      </c>
      <c r="E17" s="27">
        <f t="shared" si="4"/>
        <v>35265.599999999999</v>
      </c>
      <c r="F17" s="23">
        <f t="shared" si="2"/>
        <v>3918.4000000000015</v>
      </c>
    </row>
    <row r="18" spans="1:8" x14ac:dyDescent="0.25">
      <c r="A18">
        <f t="shared" si="3"/>
        <v>17</v>
      </c>
      <c r="B18" s="23">
        <v>79</v>
      </c>
      <c r="C18" s="23">
        <f t="shared" si="0"/>
        <v>41633</v>
      </c>
      <c r="D18">
        <v>90</v>
      </c>
      <c r="E18" s="27">
        <f t="shared" si="4"/>
        <v>37469.699999999997</v>
      </c>
      <c r="F18" s="23">
        <f t="shared" si="2"/>
        <v>4163.3000000000029</v>
      </c>
    </row>
    <row r="19" spans="1:8" x14ac:dyDescent="0.25">
      <c r="A19">
        <f t="shared" si="3"/>
        <v>18</v>
      </c>
      <c r="B19" s="23">
        <v>79</v>
      </c>
      <c r="C19" s="23">
        <f t="shared" si="0"/>
        <v>44082</v>
      </c>
      <c r="D19">
        <v>90</v>
      </c>
      <c r="E19" s="27">
        <f t="shared" si="4"/>
        <v>39673.800000000003</v>
      </c>
      <c r="F19" s="23">
        <f t="shared" si="2"/>
        <v>4408.1999999999971</v>
      </c>
    </row>
    <row r="20" spans="1:8" x14ac:dyDescent="0.25">
      <c r="A20">
        <f t="shared" si="3"/>
        <v>19</v>
      </c>
      <c r="B20" s="23">
        <v>79</v>
      </c>
      <c r="C20" s="23">
        <f t="shared" si="0"/>
        <v>46531</v>
      </c>
      <c r="D20">
        <v>90</v>
      </c>
      <c r="E20" s="27">
        <f t="shared" si="4"/>
        <v>41877.9</v>
      </c>
      <c r="F20" s="23">
        <f t="shared" si="2"/>
        <v>4653.0999999999985</v>
      </c>
      <c r="H20" s="21"/>
    </row>
    <row r="21" spans="1:8" x14ac:dyDescent="0.25">
      <c r="A21">
        <f t="shared" si="3"/>
        <v>20</v>
      </c>
      <c r="B21" s="23">
        <v>79</v>
      </c>
      <c r="C21" s="23">
        <f t="shared" si="0"/>
        <v>48980</v>
      </c>
      <c r="D21">
        <v>80</v>
      </c>
      <c r="E21" s="28">
        <f t="shared" si="4"/>
        <v>39184</v>
      </c>
      <c r="F21" s="23">
        <f t="shared" si="2"/>
        <v>9796</v>
      </c>
    </row>
    <row r="22" spans="1:8" x14ac:dyDescent="0.25">
      <c r="A22">
        <f t="shared" si="3"/>
        <v>21</v>
      </c>
      <c r="B22" s="23">
        <v>79</v>
      </c>
      <c r="C22" s="23">
        <f t="shared" si="0"/>
        <v>51429</v>
      </c>
      <c r="D22">
        <v>80</v>
      </c>
      <c r="E22" s="28">
        <f t="shared" si="4"/>
        <v>41143.199999999997</v>
      </c>
      <c r="F22" s="23">
        <f t="shared" si="2"/>
        <v>10285.800000000003</v>
      </c>
    </row>
    <row r="23" spans="1:8" x14ac:dyDescent="0.25">
      <c r="A23">
        <f t="shared" si="3"/>
        <v>22</v>
      </c>
      <c r="B23" s="23">
        <v>79</v>
      </c>
      <c r="C23" s="23">
        <f t="shared" si="0"/>
        <v>53878</v>
      </c>
      <c r="D23">
        <v>80</v>
      </c>
      <c r="E23" s="28">
        <f t="shared" si="4"/>
        <v>43102.400000000001</v>
      </c>
      <c r="F23" s="23">
        <f t="shared" si="2"/>
        <v>10775.599999999999</v>
      </c>
    </row>
    <row r="24" spans="1:8" x14ac:dyDescent="0.25">
      <c r="A24">
        <f t="shared" si="3"/>
        <v>23</v>
      </c>
      <c r="B24" s="23">
        <v>79</v>
      </c>
      <c r="C24" s="23">
        <f t="shared" si="0"/>
        <v>56327</v>
      </c>
      <c r="D24">
        <v>80</v>
      </c>
      <c r="E24" s="28">
        <f t="shared" si="4"/>
        <v>45061.599999999999</v>
      </c>
      <c r="F24" s="23">
        <f t="shared" si="2"/>
        <v>11265.400000000001</v>
      </c>
    </row>
    <row r="25" spans="1:8" x14ac:dyDescent="0.25">
      <c r="A25">
        <f t="shared" si="3"/>
        <v>24</v>
      </c>
      <c r="B25" s="23">
        <v>79</v>
      </c>
      <c r="C25" s="23">
        <f t="shared" si="0"/>
        <v>58776</v>
      </c>
      <c r="D25">
        <v>80</v>
      </c>
      <c r="E25" s="28">
        <f t="shared" si="4"/>
        <v>47020.800000000003</v>
      </c>
      <c r="F25" s="23">
        <f t="shared" si="2"/>
        <v>11755.199999999997</v>
      </c>
    </row>
    <row r="26" spans="1:8" x14ac:dyDescent="0.25">
      <c r="A26">
        <f t="shared" si="3"/>
        <v>25</v>
      </c>
      <c r="B26" s="23">
        <v>79</v>
      </c>
      <c r="C26" s="23">
        <f t="shared" si="0"/>
        <v>61225</v>
      </c>
      <c r="D26">
        <v>80</v>
      </c>
      <c r="E26" s="28">
        <f t="shared" si="4"/>
        <v>48980</v>
      </c>
      <c r="F26" s="23">
        <f t="shared" si="2"/>
        <v>12245</v>
      </c>
    </row>
    <row r="27" spans="1:8" x14ac:dyDescent="0.25">
      <c r="A27">
        <f t="shared" si="3"/>
        <v>26</v>
      </c>
      <c r="B27" s="23">
        <v>79</v>
      </c>
      <c r="C27" s="23">
        <f t="shared" si="0"/>
        <v>63674</v>
      </c>
      <c r="D27">
        <v>80</v>
      </c>
      <c r="E27" s="28">
        <f t="shared" si="4"/>
        <v>50939.199999999997</v>
      </c>
      <c r="F27" s="23">
        <f t="shared" si="2"/>
        <v>12734.800000000003</v>
      </c>
    </row>
    <row r="28" spans="1:8" x14ac:dyDescent="0.25">
      <c r="A28">
        <f t="shared" si="3"/>
        <v>27</v>
      </c>
      <c r="B28" s="23">
        <v>79</v>
      </c>
      <c r="C28" s="23">
        <f t="shared" si="0"/>
        <v>66123</v>
      </c>
      <c r="D28">
        <v>80</v>
      </c>
      <c r="E28" s="28">
        <f t="shared" si="4"/>
        <v>52898.400000000001</v>
      </c>
      <c r="F28" s="23">
        <f t="shared" si="2"/>
        <v>13224.599999999999</v>
      </c>
    </row>
    <row r="29" spans="1:8" x14ac:dyDescent="0.25">
      <c r="A29">
        <f t="shared" si="3"/>
        <v>28</v>
      </c>
      <c r="B29" s="23">
        <v>79</v>
      </c>
      <c r="C29" s="23">
        <f t="shared" si="0"/>
        <v>68572</v>
      </c>
      <c r="D29">
        <v>80</v>
      </c>
      <c r="E29" s="28">
        <f t="shared" si="4"/>
        <v>54857.599999999999</v>
      </c>
      <c r="F29" s="23">
        <f t="shared" si="2"/>
        <v>13714.400000000001</v>
      </c>
    </row>
    <row r="30" spans="1:8" x14ac:dyDescent="0.25">
      <c r="A30">
        <f t="shared" si="3"/>
        <v>29</v>
      </c>
      <c r="B30" s="23">
        <v>79</v>
      </c>
      <c r="C30" s="23">
        <f t="shared" si="0"/>
        <v>71021</v>
      </c>
      <c r="D30">
        <v>80</v>
      </c>
      <c r="E30" s="28">
        <f t="shared" si="4"/>
        <v>56816.800000000003</v>
      </c>
      <c r="F30" s="23">
        <f t="shared" si="2"/>
        <v>14204.199999999997</v>
      </c>
    </row>
    <row r="31" spans="1:8" x14ac:dyDescent="0.25">
      <c r="A31">
        <f t="shared" si="3"/>
        <v>30</v>
      </c>
      <c r="B31" s="23">
        <v>79</v>
      </c>
      <c r="C31" s="23">
        <f t="shared" si="0"/>
        <v>73470</v>
      </c>
      <c r="D31">
        <v>70</v>
      </c>
      <c r="E31" s="29">
        <f t="shared" si="4"/>
        <v>51429</v>
      </c>
      <c r="F31" s="23">
        <f t="shared" si="2"/>
        <v>22041</v>
      </c>
    </row>
    <row r="32" spans="1:8" x14ac:dyDescent="0.25">
      <c r="A32">
        <f t="shared" si="3"/>
        <v>31</v>
      </c>
      <c r="B32" s="23">
        <v>79</v>
      </c>
      <c r="C32" s="23">
        <f t="shared" si="0"/>
        <v>75919</v>
      </c>
      <c r="D32">
        <v>70</v>
      </c>
      <c r="E32" s="29">
        <f t="shared" si="4"/>
        <v>53143.3</v>
      </c>
      <c r="F32" s="23">
        <f t="shared" si="2"/>
        <v>22775.699999999997</v>
      </c>
    </row>
    <row r="33" spans="1:6" x14ac:dyDescent="0.25">
      <c r="A33">
        <f t="shared" si="3"/>
        <v>32</v>
      </c>
      <c r="B33" s="23">
        <v>79</v>
      </c>
      <c r="C33" s="23">
        <f t="shared" si="0"/>
        <v>78368</v>
      </c>
      <c r="D33">
        <v>70</v>
      </c>
      <c r="E33" s="29">
        <f t="shared" si="4"/>
        <v>54857.599999999999</v>
      </c>
      <c r="F33" s="23">
        <f t="shared" si="2"/>
        <v>23510.400000000001</v>
      </c>
    </row>
    <row r="34" spans="1:6" x14ac:dyDescent="0.25">
      <c r="A34">
        <f t="shared" si="3"/>
        <v>33</v>
      </c>
      <c r="B34" s="23">
        <v>79</v>
      </c>
      <c r="C34" s="23">
        <f t="shared" ref="C34:C56" si="5">B34*31*A34</f>
        <v>80817</v>
      </c>
      <c r="D34">
        <v>70</v>
      </c>
      <c r="E34" s="29">
        <f t="shared" si="4"/>
        <v>56571.9</v>
      </c>
      <c r="F34" s="23">
        <f t="shared" ref="F34:F56" si="6">C34-E34</f>
        <v>24245.1</v>
      </c>
    </row>
    <row r="35" spans="1:6" x14ac:dyDescent="0.25">
      <c r="A35">
        <f t="shared" ref="A35:A56" si="7">A34+1</f>
        <v>34</v>
      </c>
      <c r="B35" s="23">
        <v>79</v>
      </c>
      <c r="C35" s="23">
        <f t="shared" si="5"/>
        <v>83266</v>
      </c>
      <c r="D35">
        <v>70</v>
      </c>
      <c r="E35" s="29">
        <f t="shared" si="4"/>
        <v>58286.2</v>
      </c>
      <c r="F35" s="23">
        <f t="shared" si="6"/>
        <v>24979.800000000003</v>
      </c>
    </row>
    <row r="36" spans="1:6" x14ac:dyDescent="0.25">
      <c r="A36">
        <f t="shared" si="7"/>
        <v>35</v>
      </c>
      <c r="B36" s="23">
        <v>79</v>
      </c>
      <c r="C36" s="23">
        <f t="shared" si="5"/>
        <v>85715</v>
      </c>
      <c r="D36">
        <v>70</v>
      </c>
      <c r="E36" s="29">
        <f t="shared" si="4"/>
        <v>60000.5</v>
      </c>
      <c r="F36" s="23">
        <f t="shared" si="6"/>
        <v>25714.5</v>
      </c>
    </row>
    <row r="37" spans="1:6" x14ac:dyDescent="0.25">
      <c r="A37">
        <f t="shared" si="7"/>
        <v>36</v>
      </c>
      <c r="B37" s="23">
        <v>79</v>
      </c>
      <c r="C37" s="23">
        <f t="shared" si="5"/>
        <v>88164</v>
      </c>
      <c r="D37">
        <v>70</v>
      </c>
      <c r="E37" s="29">
        <f t="shared" si="4"/>
        <v>61714.8</v>
      </c>
      <c r="F37" s="23">
        <f t="shared" si="6"/>
        <v>26449.199999999997</v>
      </c>
    </row>
    <row r="38" spans="1:6" x14ac:dyDescent="0.25">
      <c r="A38">
        <f t="shared" si="7"/>
        <v>37</v>
      </c>
      <c r="B38" s="23">
        <v>79</v>
      </c>
      <c r="C38" s="23">
        <f t="shared" si="5"/>
        <v>90613</v>
      </c>
      <c r="D38">
        <v>70</v>
      </c>
      <c r="E38" s="29">
        <f t="shared" si="4"/>
        <v>63429.1</v>
      </c>
      <c r="F38" s="23">
        <f t="shared" si="6"/>
        <v>27183.9</v>
      </c>
    </row>
    <row r="39" spans="1:6" x14ac:dyDescent="0.25">
      <c r="A39">
        <f t="shared" si="7"/>
        <v>38</v>
      </c>
      <c r="B39" s="23">
        <v>79</v>
      </c>
      <c r="C39" s="23">
        <f t="shared" si="5"/>
        <v>93062</v>
      </c>
      <c r="D39">
        <v>70</v>
      </c>
      <c r="E39" s="29">
        <f t="shared" si="4"/>
        <v>65143.4</v>
      </c>
      <c r="F39" s="23">
        <f t="shared" si="6"/>
        <v>27918.6</v>
      </c>
    </row>
    <row r="40" spans="1:6" x14ac:dyDescent="0.25">
      <c r="A40">
        <f t="shared" si="7"/>
        <v>39</v>
      </c>
      <c r="B40" s="23">
        <v>79</v>
      </c>
      <c r="C40" s="23">
        <f t="shared" si="5"/>
        <v>95511</v>
      </c>
      <c r="D40">
        <v>70</v>
      </c>
      <c r="E40" s="29">
        <f t="shared" si="4"/>
        <v>66857.7</v>
      </c>
      <c r="F40" s="23">
        <f t="shared" si="6"/>
        <v>28653.300000000003</v>
      </c>
    </row>
    <row r="41" spans="1:6" x14ac:dyDescent="0.25">
      <c r="A41">
        <f t="shared" si="7"/>
        <v>40</v>
      </c>
      <c r="B41" s="23">
        <v>79</v>
      </c>
      <c r="C41" s="23">
        <f t="shared" si="5"/>
        <v>97960</v>
      </c>
      <c r="D41">
        <v>60</v>
      </c>
      <c r="E41" s="23">
        <f t="shared" si="4"/>
        <v>58776</v>
      </c>
      <c r="F41" s="23">
        <f t="shared" si="6"/>
        <v>39184</v>
      </c>
    </row>
    <row r="42" spans="1:6" x14ac:dyDescent="0.25">
      <c r="A42">
        <f t="shared" si="7"/>
        <v>41</v>
      </c>
      <c r="B42" s="23">
        <v>79</v>
      </c>
      <c r="C42" s="23">
        <f t="shared" si="5"/>
        <v>100409</v>
      </c>
      <c r="D42">
        <v>60</v>
      </c>
      <c r="E42" s="23">
        <f t="shared" si="4"/>
        <v>60245.4</v>
      </c>
      <c r="F42" s="23">
        <f t="shared" si="6"/>
        <v>40163.599999999999</v>
      </c>
    </row>
    <row r="43" spans="1:6" x14ac:dyDescent="0.25">
      <c r="A43">
        <f t="shared" si="7"/>
        <v>42</v>
      </c>
      <c r="B43" s="23">
        <v>79</v>
      </c>
      <c r="C43" s="23">
        <f t="shared" si="5"/>
        <v>102858</v>
      </c>
      <c r="D43">
        <v>60</v>
      </c>
      <c r="E43" s="23">
        <f t="shared" si="4"/>
        <v>61714.8</v>
      </c>
      <c r="F43" s="23">
        <f t="shared" si="6"/>
        <v>41143.199999999997</v>
      </c>
    </row>
    <row r="44" spans="1:6" x14ac:dyDescent="0.25">
      <c r="A44">
        <f t="shared" si="7"/>
        <v>43</v>
      </c>
      <c r="B44" s="23">
        <v>79</v>
      </c>
      <c r="C44" s="23">
        <f t="shared" si="5"/>
        <v>105307</v>
      </c>
      <c r="D44">
        <v>60</v>
      </c>
      <c r="E44" s="23">
        <f t="shared" si="4"/>
        <v>63184.2</v>
      </c>
      <c r="F44" s="23">
        <f t="shared" si="6"/>
        <v>42122.8</v>
      </c>
    </row>
    <row r="45" spans="1:6" x14ac:dyDescent="0.25">
      <c r="A45">
        <f t="shared" si="7"/>
        <v>44</v>
      </c>
      <c r="B45" s="23">
        <v>79</v>
      </c>
      <c r="C45" s="23">
        <f t="shared" si="5"/>
        <v>107756</v>
      </c>
      <c r="D45">
        <v>60</v>
      </c>
      <c r="E45" s="23">
        <f t="shared" si="4"/>
        <v>64653.599999999999</v>
      </c>
      <c r="F45" s="23">
        <f t="shared" si="6"/>
        <v>43102.400000000001</v>
      </c>
    </row>
    <row r="46" spans="1:6" x14ac:dyDescent="0.25">
      <c r="A46">
        <f t="shared" si="7"/>
        <v>45</v>
      </c>
      <c r="B46" s="23">
        <v>79</v>
      </c>
      <c r="C46" s="23">
        <f t="shared" si="5"/>
        <v>110205</v>
      </c>
      <c r="D46">
        <v>60</v>
      </c>
      <c r="E46" s="23">
        <f t="shared" si="4"/>
        <v>66123</v>
      </c>
      <c r="F46" s="23">
        <f t="shared" si="6"/>
        <v>44082</v>
      </c>
    </row>
    <row r="47" spans="1:6" x14ac:dyDescent="0.25">
      <c r="A47">
        <f t="shared" si="7"/>
        <v>46</v>
      </c>
      <c r="B47" s="23">
        <v>79</v>
      </c>
      <c r="C47" s="23">
        <f t="shared" si="5"/>
        <v>112654</v>
      </c>
      <c r="D47">
        <v>60</v>
      </c>
      <c r="E47" s="23">
        <f t="shared" si="4"/>
        <v>67592.399999999994</v>
      </c>
      <c r="F47" s="23">
        <f t="shared" si="6"/>
        <v>45061.600000000006</v>
      </c>
    </row>
    <row r="48" spans="1:6" x14ac:dyDescent="0.25">
      <c r="A48">
        <f t="shared" si="7"/>
        <v>47</v>
      </c>
      <c r="B48" s="23">
        <v>79</v>
      </c>
      <c r="C48" s="23">
        <f t="shared" si="5"/>
        <v>115103</v>
      </c>
      <c r="D48">
        <v>60</v>
      </c>
      <c r="E48" s="23">
        <f t="shared" si="4"/>
        <v>69061.8</v>
      </c>
      <c r="F48" s="23">
        <f t="shared" si="6"/>
        <v>46041.2</v>
      </c>
    </row>
    <row r="49" spans="1:6" x14ac:dyDescent="0.25">
      <c r="A49">
        <f t="shared" si="7"/>
        <v>48</v>
      </c>
      <c r="B49" s="23">
        <v>79</v>
      </c>
      <c r="C49" s="23">
        <f t="shared" si="5"/>
        <v>117552</v>
      </c>
      <c r="D49">
        <v>60</v>
      </c>
      <c r="E49" s="23">
        <f t="shared" si="4"/>
        <v>70531.199999999997</v>
      </c>
      <c r="F49" s="23">
        <f t="shared" si="6"/>
        <v>47020.800000000003</v>
      </c>
    </row>
    <row r="50" spans="1:6" x14ac:dyDescent="0.25">
      <c r="A50">
        <f t="shared" si="7"/>
        <v>49</v>
      </c>
      <c r="B50" s="23">
        <v>79</v>
      </c>
      <c r="C50" s="23">
        <f t="shared" si="5"/>
        <v>120001</v>
      </c>
      <c r="D50">
        <v>60</v>
      </c>
      <c r="E50" s="23">
        <f t="shared" si="4"/>
        <v>72000.600000000006</v>
      </c>
      <c r="F50" s="23">
        <f t="shared" si="6"/>
        <v>48000.399999999994</v>
      </c>
    </row>
    <row r="51" spans="1:6" x14ac:dyDescent="0.25">
      <c r="A51">
        <f t="shared" si="7"/>
        <v>50</v>
      </c>
      <c r="B51" s="23">
        <v>79</v>
      </c>
      <c r="C51" s="23">
        <f t="shared" si="5"/>
        <v>122450</v>
      </c>
      <c r="D51">
        <v>50</v>
      </c>
      <c r="E51" s="23">
        <f t="shared" si="4"/>
        <v>61225</v>
      </c>
      <c r="F51" s="23">
        <f t="shared" si="6"/>
        <v>61225</v>
      </c>
    </row>
    <row r="52" spans="1:6" x14ac:dyDescent="0.25">
      <c r="A52">
        <f t="shared" si="7"/>
        <v>51</v>
      </c>
      <c r="B52" s="23">
        <v>79</v>
      </c>
      <c r="C52" s="23">
        <f t="shared" si="5"/>
        <v>124899</v>
      </c>
      <c r="D52">
        <v>50</v>
      </c>
      <c r="E52" s="23">
        <f t="shared" si="4"/>
        <v>62449.5</v>
      </c>
      <c r="F52" s="23">
        <f t="shared" si="6"/>
        <v>62449.5</v>
      </c>
    </row>
    <row r="53" spans="1:6" x14ac:dyDescent="0.25">
      <c r="A53">
        <f t="shared" si="7"/>
        <v>52</v>
      </c>
      <c r="B53" s="23">
        <v>79</v>
      </c>
      <c r="C53" s="23">
        <f t="shared" si="5"/>
        <v>127348</v>
      </c>
      <c r="D53">
        <v>50</v>
      </c>
      <c r="E53" s="23">
        <f t="shared" si="4"/>
        <v>63674</v>
      </c>
      <c r="F53" s="23">
        <f t="shared" si="6"/>
        <v>63674</v>
      </c>
    </row>
    <row r="54" spans="1:6" x14ac:dyDescent="0.25">
      <c r="A54">
        <f t="shared" si="7"/>
        <v>53</v>
      </c>
      <c r="B54" s="23">
        <v>79</v>
      </c>
      <c r="C54" s="23">
        <f t="shared" si="5"/>
        <v>129797</v>
      </c>
      <c r="D54">
        <v>50</v>
      </c>
      <c r="E54" s="23">
        <f t="shared" si="4"/>
        <v>64898.5</v>
      </c>
      <c r="F54" s="23">
        <f t="shared" si="6"/>
        <v>64898.5</v>
      </c>
    </row>
    <row r="55" spans="1:6" x14ac:dyDescent="0.25">
      <c r="A55">
        <f t="shared" si="7"/>
        <v>54</v>
      </c>
      <c r="B55" s="23">
        <v>79</v>
      </c>
      <c r="C55" s="23">
        <f t="shared" si="5"/>
        <v>132246</v>
      </c>
      <c r="D55">
        <v>50</v>
      </c>
      <c r="E55" s="23">
        <f t="shared" si="4"/>
        <v>66123</v>
      </c>
      <c r="F55" s="23">
        <f t="shared" si="6"/>
        <v>66123</v>
      </c>
    </row>
    <row r="56" spans="1:6" x14ac:dyDescent="0.25">
      <c r="A56">
        <f t="shared" si="7"/>
        <v>55</v>
      </c>
      <c r="B56" s="23">
        <v>79</v>
      </c>
      <c r="C56" s="23">
        <f t="shared" si="5"/>
        <v>134695</v>
      </c>
      <c r="D56">
        <v>50</v>
      </c>
      <c r="E56" s="23">
        <f t="shared" si="4"/>
        <v>67347.5</v>
      </c>
      <c r="F56" s="23">
        <f t="shared" si="6"/>
        <v>67347.5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673B-73A5-4195-A062-61AEF6E278B9}">
  <dimension ref="A1"/>
  <sheetViews>
    <sheetView workbookViewId="0">
      <selection activeCell="H50" sqref="H5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Programa de referidos</vt:lpstr>
      <vt:lpstr>Tienda de contenidos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Avellaneda</dc:creator>
  <cp:lastModifiedBy>Alejandro Avellaneda</cp:lastModifiedBy>
  <dcterms:created xsi:type="dcterms:W3CDTF">2024-08-17T22:43:29Z</dcterms:created>
  <dcterms:modified xsi:type="dcterms:W3CDTF">2024-10-28T15:01:09Z</dcterms:modified>
</cp:coreProperties>
</file>